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ilva11\Documents\RAG_DO_MINERu\relatorios\"/>
    </mc:Choice>
  </mc:AlternateContent>
  <xr:revisionPtr revIDLastSave="0" documentId="13_ncr:1_{8A775266-DD90-4EE9-9E29-85D91FDFDFC8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Planilha2" sheetId="11" r:id="rId1"/>
    <sheet name="Resumo" sheetId="1" r:id="rId2"/>
    <sheet name="1 - Prazos Criticos" sheetId="2" r:id="rId3"/>
    <sheet name="2 - Movimentacoes de Pessoal" sheetId="3" r:id="rId4"/>
    <sheet name="3 - Nomes Monitorados" sheetId="4" r:id="rId5"/>
    <sheet name="4 - Observacoes Executivas" sheetId="5" r:id="rId6"/>
    <sheet name="5 - Expediente e Ponto Facultat" sheetId="6" r:id="rId7"/>
    <sheet name="6 - Tribunal de Contas (IB)" sheetId="7" r:id="rId8"/>
    <sheet name="7 - Poder Legislativo (II)" sheetId="8" r:id="rId9"/>
    <sheet name="8 - Municipalidades e Pedido (I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1" l="1"/>
  <c r="O13" i="11"/>
  <c r="O14" i="11"/>
  <c r="O15" i="11"/>
  <c r="O16" i="11"/>
  <c r="O17" i="11"/>
  <c r="O18" i="11"/>
  <c r="O19" i="11"/>
  <c r="O20" i="11"/>
  <c r="O11" i="11"/>
  <c r="B5" i="11"/>
  <c r="C5" i="11"/>
  <c r="D5" i="11"/>
  <c r="E5" i="11"/>
  <c r="F5" i="11"/>
  <c r="G5" i="11"/>
  <c r="H5" i="11"/>
  <c r="I5" i="11"/>
  <c r="J5" i="11"/>
  <c r="A5" i="11"/>
  <c r="B3" i="11"/>
  <c r="C3" i="11"/>
  <c r="D3" i="11"/>
  <c r="E3" i="11"/>
  <c r="F3" i="11"/>
  <c r="G3" i="11"/>
  <c r="H3" i="11"/>
  <c r="I3" i="11"/>
  <c r="J3" i="11"/>
  <c r="A3" i="11"/>
</calcChain>
</file>

<file path=xl/sharedStrings.xml><?xml version="1.0" encoding="utf-8"?>
<sst xmlns="http://schemas.openxmlformats.org/spreadsheetml/2006/main" count="454" uniqueCount="235">
  <si>
    <t>Monitoramento DOERJ (estruturado) - 2026-07-17</t>
  </si>
  <si>
    <t>Secao</t>
  </si>
  <si>
    <t>Itens</t>
  </si>
  <si>
    <t>1 - Prazos Criticos</t>
  </si>
  <si>
    <t>2 - Movimentacoes de Pessoal</t>
  </si>
  <si>
    <t>3 - Nomes Monitorados</t>
  </si>
  <si>
    <t>4 - Observacoes Executivas</t>
  </si>
  <si>
    <t>5 - Expediente e Ponto Facultativo</t>
  </si>
  <si>
    <t>6 - Tribunal de Contas (IB)</t>
  </si>
  <si>
    <t>7 - Poder Legislativo (II)</t>
  </si>
  <si>
    <t>8 - Municipalidades e Pedido (IV-V)</t>
  </si>
  <si>
    <t>Tipo do Ato</t>
  </si>
  <si>
    <t>Numero/Ano</t>
  </si>
  <si>
    <t>Orgao</t>
  </si>
  <si>
    <t>Pessoa</t>
  </si>
  <si>
    <t>Cargo</t>
  </si>
  <si>
    <t>Processo</t>
  </si>
  <si>
    <t>Vigencia</t>
  </si>
  <si>
    <t>Resumo</t>
  </si>
  <si>
    <t>Caderno</t>
  </si>
  <si>
    <t>Pagina</t>
  </si>
  <si>
    <t>Despacho da Comissão de Contratação</t>
  </si>
  <si>
    <t>Secretaria de Estado de Fazenda - Superintendência de Contratações Públicas</t>
  </si>
  <si>
    <t>SEI-040002/002107/2026</t>
  </si>
  <si>
    <t>prazo de 03 dias úteis para recurso</t>
  </si>
  <si>
    <t>Defere credenciamento da CAIXA ECONÔMICA FEDERAL no Edital de Credenciamento nº 001/2026 para arrecadação de tributos e receitas estaduais via GNRE e DARJ. Aberto prazo de 3 dias úteis para recurso.</t>
  </si>
  <si>
    <t>Parte I (Poder Executivo)</t>
  </si>
  <si>
    <t>6</t>
  </si>
  <si>
    <t>Edital</t>
  </si>
  <si>
    <t>NL 51004177</t>
  </si>
  <si>
    <t>SEFAZ - AFR 03.01 Barra do Piraí</t>
  </si>
  <si>
    <t>Auditora Fiscal Chefe</t>
  </si>
  <si>
    <t>SEI-040006/006481/2024</t>
  </si>
  <si>
    <t>Ciência ao sujeito passivo da Lavratura de Nota de Lançamento nº 51004177, emitida em 13/03/2024, cumprindo orientação do administrativo E-04/202/73/2020.</t>
  </si>
  <si>
    <t>39</t>
  </si>
  <si>
    <t>Determinação (Auditoria Extraordinária Benefícios Fiscais)</t>
  </si>
  <si>
    <t>item VII do Voto-Revisor</t>
  </si>
  <si>
    <t>SGE / Secretaria de Estado de Fazenda</t>
  </si>
  <si>
    <t>103.320-0/2026</t>
  </si>
  <si>
    <t>Determinação para instaurar duas auditorias governamentais extraordinárias de conformidade sobre concessão de benefícios fiscais: (a) Refit e (b) demais benefícios fiscais concedidos pelo Estado, envolvendo a SEFAZ.</t>
  </si>
  <si>
    <t>Parte IB (Tribunal de Contas)</t>
  </si>
  <si>
    <t>4</t>
  </si>
  <si>
    <t>Determinação (Auditoria fiscalização Receita)</t>
  </si>
  <si>
    <t>item VIII do Voto-Revisor</t>
  </si>
  <si>
    <t>SGE / Subsecretaria de Estado da Receita</t>
  </si>
  <si>
    <t>Determinação para instaurar auditoria extraordinária de conformidade sobre procedimentos de fiscalização da Subsecretaria de Estado da Receita para incremento da receita tributária, referentes aos maiores contribuintes, em especial a Refit.</t>
  </si>
  <si>
    <t>Apostila (retificação de nomeação)</t>
  </si>
  <si>
    <t>ATO DE 14/07/2026</t>
  </si>
  <si>
    <t>Secretaria de Estado de Fazenda</t>
  </si>
  <si>
    <t>CARLA MÔNICA DA SILVA SANTOS BORGES</t>
  </si>
  <si>
    <t>Assistente, símbolo DAS-6</t>
  </si>
  <si>
    <t>SEI-040004/000150/2026</t>
  </si>
  <si>
    <t>Retificação de nomeação de CARLA MÔNICA DA SILVA SANTOS BORGES (ID 51327988) para o cargo de Assistente, símbolo DAS-6, da SEFAZ, esclarecendo que a nomeação se deu em vaga estabelecida pelo Decreto nº 50.340, de 23/06/2026, mantidos os demais termos.</t>
  </si>
  <si>
    <t>3</t>
  </si>
  <si>
    <t>Ato do Secretário</t>
  </si>
  <si>
    <t>Leonardo Xavier Antonaccio</t>
  </si>
  <si>
    <t>Auditor Fiscal da Receita Estadual de 1ª Categoria</t>
  </si>
  <si>
    <t>SEI-040001/001544/2026</t>
  </si>
  <si>
    <t>a contar de 07/07/2026</t>
  </si>
  <si>
    <t>Remove, a pedido, Leonardo Xavier Antonaccio da Auditoria Fiscal Regional - Capital 64.09 para a Representação Geral da Fazenda, da Chefia de Gabinete.</t>
  </si>
  <si>
    <t>5</t>
  </si>
  <si>
    <t>Ato do Superintendente</t>
  </si>
  <si>
    <t>Secretaria de Estado de Fazenda - Superintendência de Gestão de Pessoa</t>
  </si>
  <si>
    <t>Raquel Rodrigues Pereira</t>
  </si>
  <si>
    <t>Analista da Fazenda Estadual</t>
  </si>
  <si>
    <t>SEI-040002/002217/2026</t>
  </si>
  <si>
    <t>16/07/2026</t>
  </si>
  <si>
    <t>Remove Raquel Rodrigues Pereira da Auditoria-Fiscal Regional - Metropolitana 33.01 para a Superintendência Geral de Orçamento, Contabilidade e Finanças.</t>
  </si>
  <si>
    <t>Portaria RIOPREV</t>
  </si>
  <si>
    <t>637/2026</t>
  </si>
  <si>
    <t>Fundo Único de Previdência Social do Estado do RJ - Rioprevidência</t>
  </si>
  <si>
    <t>Alexandre Alves Soares; Oberdan Pereira Manoel Júnior; Allan de Oliveira Costa</t>
  </si>
  <si>
    <t>Gestor de Transportes / substituto / auxiliar de transportes</t>
  </si>
  <si>
    <t>SEI-040014/040801/2024</t>
  </si>
  <si>
    <t>A partir da publicação</t>
  </si>
  <si>
    <t>Designa servidores do Rioprevidência para regulamentação do SIGETRANSP - Sistema de Governança e Gestão de Transportes. Revoga a Portaria RIOPREV 542/2024.</t>
  </si>
  <si>
    <t>9</t>
  </si>
  <si>
    <t>Registro em Ata (Comunicação/Alerta ao titular da SEFAZ)</t>
  </si>
  <si>
    <t>itens II a V do Voto-Revisor</t>
  </si>
  <si>
    <t>Guilherme Mercês</t>
  </si>
  <si>
    <t>Secretário de Estado de Fazenda</t>
  </si>
  <si>
    <t>a partir de 2026/2027</t>
  </si>
  <si>
    <t>Comunicações ao titular da SEFAZ (Guilherme Mercês, representado na sessão por Roberto Gomides Barros Filho, Subsecretário-Geral) com alertas nos termos do art.59§1ºV da LRF sobre fragilidades da auditoria financeira, art. 41-A da LRF (LC 212/25) e risco de parecer prévio contrário em exercícios futuros.</t>
  </si>
  <si>
    <t>Edital de comunicação SICODI</t>
  </si>
  <si>
    <t>CGC 13161/2026</t>
  </si>
  <si>
    <t>TCE-RJ</t>
  </si>
  <si>
    <t>GUILHERME MACEDO REIS MERCES</t>
  </si>
  <si>
    <t>100883-9/2025</t>
  </si>
  <si>
    <t>Edital de comunicação do TCE-RJ para jurisdicionado Guilherme Macedo Reis Merces, cujo correio eletronico vinculado ao SICODI nao teve confirmacao de abertura, referente ao processo 100883-9/2025, oficio entregue em 10/07/2026.</t>
  </si>
  <si>
    <t>Despachos do Secretário</t>
  </si>
  <si>
    <t>SEI E-04/040/001635/2015 e outros</t>
  </si>
  <si>
    <t>02/07/2026</t>
  </si>
  <si>
    <t>Secretário conhece recursos da Representação Geral da Fazenda e dá provimento reconhecendo não ocorrência de decadência em processos de ATACADÃO, TRAMP OIL, CASAS GUANABARA, M-I SWACO e TELE RIO ELETRO.</t>
  </si>
  <si>
    <t>Despacho do Secretário</t>
  </si>
  <si>
    <t>SEI-040005/001134/2025</t>
  </si>
  <si>
    <t>10/07/2026</t>
  </si>
  <si>
    <t>Secretário, no uso das atribuições do Decreto nº 50.340/2026, nega provimento a recursos administrativos, mantendo penalidades aplicadas.</t>
  </si>
  <si>
    <t>Ata de Reunião Extraordinária</t>
  </si>
  <si>
    <t>Secretaria de Estado de Fazenda - Comitê de Gestão do FAF</t>
  </si>
  <si>
    <t>Roberto Gomides de Barros Filho</t>
  </si>
  <si>
    <t>Subsecretário Geral da Fazenda / Presidente do Comitê Deliberativo</t>
  </si>
  <si>
    <t>SEI-040049/000022/2021</t>
  </si>
  <si>
    <t>08/07/2026</t>
  </si>
  <si>
    <t>Reunião extraordinária do Comitê Deliberativo do FAF ratificou por unanimidade aprovação do estudo técnico PAP 2026 pelo Comitê de Gestão.</t>
  </si>
  <si>
    <t>Portaria SEFAZ/SUPCC</t>
  </si>
  <si>
    <t>1048/2026</t>
  </si>
  <si>
    <t>Adriana Claro Ribeiro Amaral</t>
  </si>
  <si>
    <t>Superintendente de Contratações Públicas</t>
  </si>
  <si>
    <t>SEI-040010/000173/2024</t>
  </si>
  <si>
    <t>15/07/2026</t>
  </si>
  <si>
    <t>Designa fiscais e gestores da Comissão de Gestão e Fiscalização do Contrato nº 007/2025 (FAF/SEFAZ com FGV) referente a curso de mestrado profissional.</t>
  </si>
  <si>
    <t>1049/2026</t>
  </si>
  <si>
    <t>SEI-040177/000022/2023</t>
  </si>
  <si>
    <t>Designa fiscais e gestores da Comissão de Acompanhamento do Contrato nº 05/2023 (SEFAZ com Haddad Rent a Car), locação de veículos de representação.</t>
  </si>
  <si>
    <t>Portaria SUPFINF</t>
  </si>
  <si>
    <t>1700/2026</t>
  </si>
  <si>
    <t>Secretaria de Estado de Fazenda - Superintendência de Fiscalização</t>
  </si>
  <si>
    <t>Gutemberg Fernandes de Lima</t>
  </si>
  <si>
    <t>Superintendente de Fiscalização</t>
  </si>
  <si>
    <t>SEI-040224/001817/2023</t>
  </si>
  <si>
    <t>Instaura PCAN para cancelamento de inscrição estadual do contribuinte MILER E LACERDA FABRICACAO DE ESQUADRIAS EIRELI. Prazo de 30 dias para recurso.</t>
  </si>
  <si>
    <t>1701/2026</t>
  </si>
  <si>
    <t>SEI-040006/042211/2025</t>
  </si>
  <si>
    <t>Instaura PCAN para cancelamento de inscrição estadual do contribuinte MHS PRODUTOS E SERVIÇOS EIRELI. Prazo de 30 dias para recurso.</t>
  </si>
  <si>
    <t>1702/2026</t>
  </si>
  <si>
    <t>SEI-040006/011205/2026</t>
  </si>
  <si>
    <t>Instaura PCAN para cancelamento de inscrição estadual do contribuinte COMERCIAL ALIMENTICIA E CEREALISTA VALE DO CARIOCA LTDA. Prazo de 30 dias para recurso.</t>
  </si>
  <si>
    <t>1703/2026</t>
  </si>
  <si>
    <t>SEI-040006/000385/2023</t>
  </si>
  <si>
    <t>Instaura PCAN para cancelamento de inscrição estadual do contribuinte PASSEIO COMÉRCIO E TRANSPORTE DE PRODUTOS ALIMENTÍCIOS EIRELI. Prazo de 30 dias para recurso.</t>
  </si>
  <si>
    <t>1704/2026</t>
  </si>
  <si>
    <t>SEI-040044/000276/2022</t>
  </si>
  <si>
    <t>Instaura PCAN para cancelamento de inscrição estadual do contribuinte SOBERANO COMÉRCIO DE GÊNEROS ALIMENTÍCIOS S.A. Prazo de 30 dias para recurso.</t>
  </si>
  <si>
    <t>1705/2026</t>
  </si>
  <si>
    <t>SEI-040006/050252/2025</t>
  </si>
  <si>
    <t>Instaura PCAN para cancelamento de inscrição estadual do contribuinte COMÉRCIO DE COSMÉTICOS E PRODUTOS DE LUXO VISK LTDA. Prazo de 30 dias para recurso.</t>
  </si>
  <si>
    <t>Portaria SEFAZ/SUPDIEF</t>
  </si>
  <si>
    <t>19/2026</t>
  </si>
  <si>
    <t>Secretaria de Estado de Fazenda - Superintendência de Cadastro e Informações Fiscais</t>
  </si>
  <si>
    <t>Felipe Gomes Cipriani Silva</t>
  </si>
  <si>
    <t>Superintendente de Cadastro e Informações Fiscais</t>
  </si>
  <si>
    <t>SEI-040006/040868/2025</t>
  </si>
  <si>
    <t>Dispõe sobre a lotação dos servidores da Superintendência de Cadastro e Informações Fiscais entre os órgãos componentes de sua estrutura.</t>
  </si>
  <si>
    <t>20/2026</t>
  </si>
  <si>
    <t>SEI-040006/031271/2026</t>
  </si>
  <si>
    <t>Modifica Anexo Único da Portaria SUCIEF nº 65/19, excluindo data fim de itens vinculados ao Convênio ICMS 100/1997 no Manual de Diferimento e benefícios tributários.</t>
  </si>
  <si>
    <t>7</t>
  </si>
  <si>
    <t>Decisões do Conselho de Contribuintes - Primeira Câmara</t>
  </si>
  <si>
    <t>Secretaria de Estado de Fazenda - Conselho de Contribuintes</t>
  </si>
  <si>
    <t>SEI-040006/024496/2024 e outros</t>
  </si>
  <si>
    <t>Sessão 14/07/2026</t>
  </si>
  <si>
    <t>Decisões da 1ª Câmara: negado provimento a recurso voluntário de GLAXOSMITHKLINE (Acórdão 20848), recursos de ofício de LATICINIOS BIMBO e BAKER HUGHES desprovidos.</t>
  </si>
  <si>
    <t>Decisões do Conselho de Contribuintes - Segunda Câmara</t>
  </si>
  <si>
    <t>SEI-040087/000031/2020</t>
  </si>
  <si>
    <t>Sessões abr/jun 2026</t>
  </si>
  <si>
    <t>Diversas decisões da 2ª Câmara negando provimento a recursos de ofício e voluntários (YC Distribuidora, Repremig, PW Igarape, Marechal, Ronaldo Guimarães Marins, Transocean, Orafi, Damacel, Sanes Brasil, entre outros).</t>
  </si>
  <si>
    <t>Pautas de Julgamento - Conselho de Contribuintes Segunda Câmara</t>
  </si>
  <si>
    <t>Sessões 11 e 18 de agosto de 2026</t>
  </si>
  <si>
    <t>Pautas de julgamento da 2ª Câmara para sessões de 11 e 18/08/2026 envolvendo Companhia Brasileira de Distribuição, Cummins, Petrobras, Ambev, Atacadão, Toyota, entre outros.</t>
  </si>
  <si>
    <t>8</t>
  </si>
  <si>
    <t>Decisões do Conselho de Contribuintes - Quarta Câmara</t>
  </si>
  <si>
    <t>SEI-040006/032911/2024 e E-04/108223/2011</t>
  </si>
  <si>
    <t>Sessão 02/07/2026</t>
  </si>
  <si>
    <t>4ª Câmara: negado provimento a recursos voluntários de DOLPHIN SOLUCOES EM ENGENHARIA (DIFAL - Acórdão 20.921) e LUA NOVA (pedido de restituição - Acórdão 20.925).</t>
  </si>
  <si>
    <t>Acórdão / Decisão do Conselho de Contribuintes</t>
  </si>
  <si>
    <t>Acórdão 20.930 / Recurso 84226</t>
  </si>
  <si>
    <t>Conselho de Contribuintes - SEFAZ</t>
  </si>
  <si>
    <t>SEI-040006/048390/2024</t>
  </si>
  <si>
    <t>Sessão Ordinária de 07/07/2026. Recurso voluntário da RB Distribuidora de Alimentos 2017 Ltda contra Fazenda Estadual. Rejeitada preliminar de nulidade e negado provimento, reconhecendo procedência do lançamento de ICMS por creditamento indevido (estornos de débitos no registro E111 sem comprovação documental).</t>
  </si>
  <si>
    <t>Acórdão 20.940 / Recurso 84525</t>
  </si>
  <si>
    <t>SEI-E-04/041/001691/2016</t>
  </si>
  <si>
    <t>Recurso de ofício da Fazenda Estadual (interessada Rosimar Leal de Oliveira - Espólio). ITD. Negado provimento ao recurso de ofício, declarando nulidade material do lançamento, confirmando decisão de primeira instância.</t>
  </si>
  <si>
    <t>Despacho do Diretor-Presidente (ratificação de inexigibilidade de licitação)</t>
  </si>
  <si>
    <t>14/07/2026</t>
  </si>
  <si>
    <t>Felipe Derbli de Carvalho Baptista</t>
  </si>
  <si>
    <t>Diretor-Presidente</t>
  </si>
  <si>
    <t>SEI-040014/003938/2026</t>
  </si>
  <si>
    <t>Ratifica inexigibilidade de licitação (Art. 74, I, Lei 14.133/2021) em favor da ANEPREM, no valor de R$ 3.700,00.</t>
  </si>
  <si>
    <t>Atos do Gerente - Concessão de pensão por morte</t>
  </si>
  <si>
    <t>Rioprevidência - Gerência de Relacionamento com o Segurado e Pensão</t>
  </si>
  <si>
    <t>Diversos beneficiários (Jose Maria de Barcelos e outros)</t>
  </si>
  <si>
    <t>Diversos (PD-04/145.34/2017 e outros)</t>
  </si>
  <si>
    <t>Concessão de várias pensões por morte a beneficiários de ex-segurados do Estado, com fundamento no art. 40, §7º, I, CRFB/1988 e art. 14 da Lei 5.260/2008.</t>
  </si>
  <si>
    <t>Despacho da Coordenadora de Pensão</t>
  </si>
  <si>
    <t>Rioprevidência - Coordenadoria de Pensão</t>
  </si>
  <si>
    <t>Flávio Holanda Barrozo Uchôa</t>
  </si>
  <si>
    <t>SEI-040014/003722/2026</t>
  </si>
  <si>
    <t>Declara que companheiro NÃO faz jus à pensão por morte da ex-segurada Isabel Cristina de Oliveira Lula, por não atender ao art. 16, parágrafo único, da Lei 5.260/2008.</t>
  </si>
  <si>
    <t>Determinação (SGE - Auditoria Financeira)</t>
  </si>
  <si>
    <t>item VI do Voto-Revisor</t>
  </si>
  <si>
    <t>Secretaria Geral de Controle Externo / SEFAZ / Rioprevidência</t>
  </si>
  <si>
    <t>exercício 2026</t>
  </si>
  <si>
    <t>Determinação à SGE para verificar, na auditoria financeira do exercício 2026, a fidedignidade do saldo das disponibilidades de caixa bruta do Anexo 5 do RGF, envolvendo SEFAZ e Rioprevidência.</t>
  </si>
  <si>
    <t>Determinações e Comunicações à SEFAZ</t>
  </si>
  <si>
    <t>Determinações 1-5, 8-10, 12, 15-16</t>
  </si>
  <si>
    <t>Diversas determinações à SEFAZ: conciliações bancárias, reclassificação contábil de investimentos, provisão de perdas do Banco Master, Demonstrativo de Renúncia de Receita, equilíbrio orçamentário, controle de créditos adicionais, cumprimento da LC 210/23 (FECP), regularização do CRP do RPPS, controle do endividamento estadual (DCL 217,25% da RCL).</t>
  </si>
  <si>
    <t>Registro contábil (Rioprevidência - investimentos Banco Master)</t>
  </si>
  <si>
    <t>item XI do Voto-Revisor</t>
  </si>
  <si>
    <t>Rioprevidência / SGE</t>
  </si>
  <si>
    <t>112.690-6/25</t>
  </si>
  <si>
    <t>Determinação à SGE para ultimar Relatório de Auditoria Extraordinária sobre órgãos/entidades com investimentos no Banco Master, incluindo Rioprevidência, e análise dos processos decisórios dos investimentos.</t>
  </si>
  <si>
    <t>(nenhum item nesta secao nesta edicao)</t>
  </si>
  <si>
    <t>Ata de Sessão Especial / Parecer Prévio</t>
  </si>
  <si>
    <t>Acórdão 18191/2026-PLEN</t>
  </si>
  <si>
    <t>Plenário TCE-RJ / Gabinete do Governador</t>
  </si>
  <si>
    <t>Cláudio Bomfim de Castro e Silva</t>
  </si>
  <si>
    <t>ex-Governador</t>
  </si>
  <si>
    <t>Parecer prévio CONTRÁRIO (3x1) às Contas de Governo 2025. Diversas irregularidades contábeis envolvendo SEFAZ e Rioprevidência: superavaliação do ativo, distorções na conta Caixa e Equivalentes de Caixa, classificação indevida de investimentos do Rioprevidência (Banco Master R$903mi, Mirae Asset R$2,06bi, Banco Genial R$1,7bi), ausência de provisão para perdas do Banco Master (R$1,13bi), passivo atuarial não reconhecido. Determinações à SEFAZ e ao Rioprevidência.</t>
  </si>
  <si>
    <t>1</t>
  </si>
  <si>
    <t>Acórdãos de Registro - Fundo Único de Previdência</t>
  </si>
  <si>
    <t>Acórdãos 21390 a 21398/2026-PLEN</t>
  </si>
  <si>
    <t>Fundo Único de Previdência Social do Estado do Rio de Janeiro</t>
  </si>
  <si>
    <t>Andrea Araujo Brandão; Joana Ribeiro Rangel Nigri; Lucia Grando Bulcao; Maria Jose da Luz Sa Osorio; Paulo Luiz Moreira; Rosangela Rodrigues Boschiglia; Telma Nair Santana Pereira; Vera Lucia Carvalho de Souza; Vera Lucia da Silva Araujo</t>
  </si>
  <si>
    <t>112880-3/2025; 112948-1/2025; 113024-8/2025; 112900-9/2025; 113502-0/2025; 112968-1/2025; 111843-8/2025; 113198-5/2025; 112911-8/2025</t>
  </si>
  <si>
    <t>Acórdãos de registro e arquivamento de processos do Fundo Único de Previdência Social do Estado do RJ (aposentadorias/pensões).</t>
  </si>
  <si>
    <t>Lei</t>
  </si>
  <si>
    <t>11.237/2026</t>
  </si>
  <si>
    <t>Poder Executivo</t>
  </si>
  <si>
    <t>Ricardo Couto de Castro</t>
  </si>
  <si>
    <t>Governador em exercício</t>
  </si>
  <si>
    <t>PL 7600/2026 - Mensagem 01/2026</t>
  </si>
  <si>
    <t>25/06/2026</t>
  </si>
  <si>
    <t>Altera o artigo 256 do Decreto-Lei nº 05, de 15 de março de 1975 - Código Tributário do Estado do Rio de Janeiro.</t>
  </si>
  <si>
    <t>Parte II (Poder Legislativo)</t>
  </si>
  <si>
    <t>11.243/2026</t>
  </si>
  <si>
    <t>PL 7684/2026 - Mensagem 05/2026</t>
  </si>
  <si>
    <t>30/06/2026</t>
  </si>
  <si>
    <t>Internaliza os Convênios ICMS nº 10, 11, 13, 19, 20 e 21, de 27 de janeiro de 2026, que prorrogam benefícios fiscais de ICMS.</t>
  </si>
  <si>
    <t>2</t>
  </si>
  <si>
    <t>Indicação</t>
  </si>
  <si>
    <t>6971/2026</t>
  </si>
  <si>
    <t>ALERJ</t>
  </si>
  <si>
    <t>Luiz Paulo</t>
  </si>
  <si>
    <t>Deputado Estadual</t>
  </si>
  <si>
    <t>Solicita ao Governador em exercício a suspensão preventiva do contrato firmado entre o Estado do RJ e a empresa PicPay, quanto às antecipações de salários de servidores públicos ativos, aposentados e pensionistas.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</si>
</sst>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78D-C079-4A85-97F2-B402AC46242B}">
  <dimension ref="A1:O20"/>
  <sheetViews>
    <sheetView workbookViewId="0">
      <selection activeCell="O11" sqref="O11:O20"/>
    </sheetView>
  </sheetViews>
  <sheetFormatPr defaultRowHeight="15" x14ac:dyDescent="0.25"/>
  <sheetData>
    <row r="1" spans="1:1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5" x14ac:dyDescent="0.25">
      <c r="A2">
        <v>76</v>
      </c>
      <c r="B2">
        <v>34</v>
      </c>
      <c r="C2">
        <v>84</v>
      </c>
      <c r="D2">
        <v>237</v>
      </c>
      <c r="E2">
        <v>66</v>
      </c>
      <c r="F2">
        <v>133</v>
      </c>
      <c r="G2">
        <v>35</v>
      </c>
      <c r="H2">
        <v>467</v>
      </c>
      <c r="I2">
        <v>29</v>
      </c>
      <c r="J2">
        <v>2</v>
      </c>
    </row>
    <row r="3" spans="1:15" x14ac:dyDescent="0.25">
      <c r="A3">
        <f>A2/8*1.5</f>
        <v>14.25</v>
      </c>
      <c r="B3">
        <f t="shared" ref="B3:J3" si="0">B2/8*1.5</f>
        <v>6.375</v>
      </c>
      <c r="C3">
        <f t="shared" si="0"/>
        <v>15.75</v>
      </c>
      <c r="D3">
        <f t="shared" si="0"/>
        <v>44.4375</v>
      </c>
      <c r="E3">
        <f t="shared" si="0"/>
        <v>12.375</v>
      </c>
      <c r="F3">
        <f t="shared" si="0"/>
        <v>24.9375</v>
      </c>
      <c r="G3">
        <f t="shared" si="0"/>
        <v>6.5625</v>
      </c>
      <c r="H3">
        <f t="shared" si="0"/>
        <v>87.5625</v>
      </c>
      <c r="I3">
        <f t="shared" si="0"/>
        <v>5.4375</v>
      </c>
      <c r="J3">
        <f t="shared" si="0"/>
        <v>0.375</v>
      </c>
    </row>
    <row r="4" spans="1:15" x14ac:dyDescent="0.25">
      <c r="A4">
        <v>15</v>
      </c>
      <c r="B4">
        <v>7</v>
      </c>
      <c r="C4">
        <v>16</v>
      </c>
      <c r="D4">
        <v>45</v>
      </c>
      <c r="E4">
        <v>13</v>
      </c>
      <c r="F4">
        <v>25</v>
      </c>
      <c r="G4">
        <v>7</v>
      </c>
      <c r="H4">
        <v>88</v>
      </c>
      <c r="I4">
        <v>6</v>
      </c>
      <c r="J4">
        <v>1</v>
      </c>
    </row>
    <row r="5" spans="1:15" x14ac:dyDescent="0.25">
      <c r="A5">
        <f>A4*8</f>
        <v>120</v>
      </c>
      <c r="B5">
        <f t="shared" ref="B5:J5" si="1">B4*8</f>
        <v>56</v>
      </c>
      <c r="C5">
        <f t="shared" si="1"/>
        <v>128</v>
      </c>
      <c r="D5">
        <f t="shared" si="1"/>
        <v>360</v>
      </c>
      <c r="E5">
        <f t="shared" si="1"/>
        <v>104</v>
      </c>
      <c r="F5">
        <f t="shared" si="1"/>
        <v>200</v>
      </c>
      <c r="G5">
        <f t="shared" si="1"/>
        <v>56</v>
      </c>
      <c r="H5">
        <f t="shared" si="1"/>
        <v>704</v>
      </c>
      <c r="I5">
        <f t="shared" si="1"/>
        <v>48</v>
      </c>
      <c r="J5">
        <f t="shared" si="1"/>
        <v>8</v>
      </c>
    </row>
    <row r="11" spans="1:15" x14ac:dyDescent="0.25">
      <c r="M11" t="s">
        <v>11</v>
      </c>
      <c r="N11">
        <v>120</v>
      </c>
      <c r="O11" t="str">
        <f>M11&amp;" AS VARCHAR2("&amp;N11&amp;");"</f>
        <v>Tipo do Ato AS VARCHAR2(120);</v>
      </c>
    </row>
    <row r="12" spans="1:15" x14ac:dyDescent="0.25">
      <c r="M12" t="s">
        <v>12</v>
      </c>
      <c r="N12">
        <v>56</v>
      </c>
      <c r="O12" t="str">
        <f t="shared" ref="O12:O20" si="2">M12&amp;" AS VARCHAR2("&amp;N12&amp;");"</f>
        <v>Numero/Ano AS VARCHAR2(56);</v>
      </c>
    </row>
    <row r="13" spans="1:15" x14ac:dyDescent="0.25">
      <c r="M13" t="s">
        <v>13</v>
      </c>
      <c r="N13">
        <v>128</v>
      </c>
      <c r="O13" t="str">
        <f t="shared" si="2"/>
        <v>Orgao AS VARCHAR2(128);</v>
      </c>
    </row>
    <row r="14" spans="1:15" x14ac:dyDescent="0.25">
      <c r="M14" t="s">
        <v>14</v>
      </c>
      <c r="N14">
        <v>360</v>
      </c>
      <c r="O14" t="str">
        <f t="shared" si="2"/>
        <v>Pessoa AS VARCHAR2(360);</v>
      </c>
    </row>
    <row r="15" spans="1:15" x14ac:dyDescent="0.25">
      <c r="M15" t="s">
        <v>15</v>
      </c>
      <c r="N15">
        <v>104</v>
      </c>
      <c r="O15" t="str">
        <f t="shared" si="2"/>
        <v>Cargo AS VARCHAR2(104);</v>
      </c>
    </row>
    <row r="16" spans="1:15" x14ac:dyDescent="0.25">
      <c r="M16" t="s">
        <v>16</v>
      </c>
      <c r="N16">
        <v>200</v>
      </c>
      <c r="O16" t="str">
        <f t="shared" si="2"/>
        <v>Processo AS VARCHAR2(200);</v>
      </c>
    </row>
    <row r="17" spans="13:15" x14ac:dyDescent="0.25">
      <c r="M17" t="s">
        <v>17</v>
      </c>
      <c r="N17">
        <v>56</v>
      </c>
      <c r="O17" t="str">
        <f t="shared" si="2"/>
        <v>Vigencia AS VARCHAR2(56);</v>
      </c>
    </row>
    <row r="18" spans="13:15" x14ac:dyDescent="0.25">
      <c r="M18" t="s">
        <v>18</v>
      </c>
      <c r="N18">
        <v>704</v>
      </c>
      <c r="O18" t="str">
        <f t="shared" si="2"/>
        <v>Resumo AS VARCHAR2(704);</v>
      </c>
    </row>
    <row r="19" spans="13:15" x14ac:dyDescent="0.25">
      <c r="M19" t="s">
        <v>19</v>
      </c>
      <c r="N19">
        <v>48</v>
      </c>
      <c r="O19" t="str">
        <f t="shared" si="2"/>
        <v>Caderno AS VARCHAR2(48);</v>
      </c>
    </row>
    <row r="20" spans="13:15" x14ac:dyDescent="0.25">
      <c r="M20" t="s">
        <v>20</v>
      </c>
      <c r="N20">
        <v>8</v>
      </c>
      <c r="O20" t="str">
        <f t="shared" si="2"/>
        <v>Pagina AS VARCHAR2(8);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H8" sqref="H8"/>
    </sheetView>
  </sheetViews>
  <sheetFormatPr defaultRowHeight="15" x14ac:dyDescent="0.25"/>
  <cols>
    <col min="1" max="1" width="40.7109375" customWidth="1"/>
    <col min="2" max="2" width="10.7109375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2</v>
      </c>
    </row>
    <row r="7" spans="1:2" x14ac:dyDescent="0.25">
      <c r="A7" t="s">
        <v>6</v>
      </c>
      <c r="B7">
        <v>25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 activeCell="K4" sqref="K4:K5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75" x14ac:dyDescent="0.25">
      <c r="A2" s="3" t="s">
        <v>21</v>
      </c>
      <c r="B2" s="3"/>
      <c r="C2" s="3" t="s">
        <v>22</v>
      </c>
      <c r="D2" s="3"/>
      <c r="E2" s="3"/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 ht="60" x14ac:dyDescent="0.25">
      <c r="A3" s="3" t="s">
        <v>28</v>
      </c>
      <c r="B3" s="3" t="s">
        <v>29</v>
      </c>
      <c r="C3" s="3" t="s">
        <v>30</v>
      </c>
      <c r="D3" s="3"/>
      <c r="E3" s="3" t="s">
        <v>31</v>
      </c>
      <c r="F3" s="3" t="s">
        <v>32</v>
      </c>
      <c r="G3" s="3"/>
      <c r="H3" s="3" t="s">
        <v>33</v>
      </c>
      <c r="I3" s="3" t="s">
        <v>26</v>
      </c>
      <c r="J3" s="3" t="s">
        <v>34</v>
      </c>
    </row>
    <row r="4" spans="1:10" ht="75" x14ac:dyDescent="0.25">
      <c r="A4" s="3" t="s">
        <v>35</v>
      </c>
      <c r="B4" s="3" t="s">
        <v>36</v>
      </c>
      <c r="C4" s="3" t="s">
        <v>37</v>
      </c>
      <c r="D4" s="3"/>
      <c r="E4" s="3"/>
      <c r="F4" s="3" t="s">
        <v>38</v>
      </c>
      <c r="G4" s="3"/>
      <c r="H4" s="3" t="s">
        <v>39</v>
      </c>
      <c r="I4" s="3" t="s">
        <v>40</v>
      </c>
      <c r="J4" s="3" t="s">
        <v>41</v>
      </c>
    </row>
    <row r="5" spans="1:10" ht="75" x14ac:dyDescent="0.25">
      <c r="A5" s="3" t="s">
        <v>42</v>
      </c>
      <c r="B5" s="3" t="s">
        <v>43</v>
      </c>
      <c r="C5" s="3" t="s">
        <v>44</v>
      </c>
      <c r="D5" s="3"/>
      <c r="E5" s="3"/>
      <c r="F5" s="3" t="s">
        <v>38</v>
      </c>
      <c r="G5" s="3"/>
      <c r="H5" s="3" t="s">
        <v>45</v>
      </c>
      <c r="I5" s="3" t="s">
        <v>40</v>
      </c>
      <c r="J5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 activeCell="K2" sqref="K2:K5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90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/>
      <c r="H2" s="3" t="s">
        <v>52</v>
      </c>
      <c r="I2" s="3" t="s">
        <v>26</v>
      </c>
      <c r="J2" s="3" t="s">
        <v>53</v>
      </c>
    </row>
    <row r="3" spans="1:10" ht="60" x14ac:dyDescent="0.25">
      <c r="A3" s="3" t="s">
        <v>54</v>
      </c>
      <c r="B3" s="3"/>
      <c r="C3" s="3" t="s">
        <v>48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26</v>
      </c>
      <c r="J3" s="3" t="s">
        <v>60</v>
      </c>
    </row>
    <row r="4" spans="1:10" ht="60" x14ac:dyDescent="0.25">
      <c r="A4" s="3" t="s">
        <v>61</v>
      </c>
      <c r="B4" s="3"/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26</v>
      </c>
      <c r="J4" s="3" t="s">
        <v>27</v>
      </c>
    </row>
    <row r="5" spans="1:10" ht="60" x14ac:dyDescent="0.25">
      <c r="A5" s="3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  <c r="I5" s="3" t="s">
        <v>26</v>
      </c>
      <c r="J5" s="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90" x14ac:dyDescent="0.25">
      <c r="A2" s="3" t="s">
        <v>77</v>
      </c>
      <c r="B2" s="3" t="s">
        <v>78</v>
      </c>
      <c r="C2" s="3" t="s">
        <v>48</v>
      </c>
      <c r="D2" s="3" t="s">
        <v>79</v>
      </c>
      <c r="E2" s="3" t="s">
        <v>80</v>
      </c>
      <c r="F2" s="3" t="s">
        <v>38</v>
      </c>
      <c r="G2" s="3" t="s">
        <v>81</v>
      </c>
      <c r="H2" s="3" t="s">
        <v>82</v>
      </c>
      <c r="I2" s="3" t="s">
        <v>40</v>
      </c>
      <c r="J2" s="3" t="s">
        <v>41</v>
      </c>
    </row>
    <row r="3" spans="1:10" ht="75" x14ac:dyDescent="0.25">
      <c r="A3" s="3" t="s">
        <v>83</v>
      </c>
      <c r="B3" s="3" t="s">
        <v>84</v>
      </c>
      <c r="C3" s="3" t="s">
        <v>85</v>
      </c>
      <c r="D3" s="3" t="s">
        <v>86</v>
      </c>
      <c r="E3" s="3"/>
      <c r="F3" s="3" t="s">
        <v>87</v>
      </c>
      <c r="G3" s="3"/>
      <c r="H3" s="3" t="s">
        <v>88</v>
      </c>
      <c r="I3" s="3" t="s">
        <v>40</v>
      </c>
      <c r="J3" s="3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tabSelected="1" workbookViewId="0">
      <pane ySplit="1" topLeftCell="A19" activePane="bottomLeft" state="frozen"/>
      <selection pane="bottomLeft" activeCell="C21" sqref="C21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75" x14ac:dyDescent="0.25">
      <c r="A2" s="3" t="s">
        <v>89</v>
      </c>
      <c r="B2" s="3"/>
      <c r="C2" s="3" t="s">
        <v>48</v>
      </c>
      <c r="D2" s="3"/>
      <c r="E2" s="3"/>
      <c r="F2" s="3" t="s">
        <v>90</v>
      </c>
      <c r="G2" s="3" t="s">
        <v>91</v>
      </c>
      <c r="H2" s="3" t="s">
        <v>92</v>
      </c>
      <c r="I2" s="3" t="s">
        <v>26</v>
      </c>
      <c r="J2" s="3" t="s">
        <v>60</v>
      </c>
    </row>
    <row r="3" spans="1:10" ht="45" x14ac:dyDescent="0.25">
      <c r="A3" s="3" t="s">
        <v>93</v>
      </c>
      <c r="B3" s="3"/>
      <c r="C3" s="3" t="s">
        <v>48</v>
      </c>
      <c r="D3" s="3"/>
      <c r="E3" s="3"/>
      <c r="F3" s="3" t="s">
        <v>94</v>
      </c>
      <c r="G3" s="3" t="s">
        <v>95</v>
      </c>
      <c r="H3" s="3" t="s">
        <v>96</v>
      </c>
      <c r="I3" s="3" t="s">
        <v>26</v>
      </c>
      <c r="J3" s="3" t="s">
        <v>60</v>
      </c>
    </row>
    <row r="4" spans="1:10" ht="45" x14ac:dyDescent="0.25">
      <c r="A4" s="3" t="s">
        <v>97</v>
      </c>
      <c r="B4" s="3"/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26</v>
      </c>
      <c r="J4" s="3" t="s">
        <v>60</v>
      </c>
    </row>
    <row r="5" spans="1:10" ht="45" x14ac:dyDescent="0.25">
      <c r="A5" s="3" t="s">
        <v>104</v>
      </c>
      <c r="B5" s="3" t="s">
        <v>105</v>
      </c>
      <c r="C5" s="3" t="s">
        <v>22</v>
      </c>
      <c r="D5" s="3" t="s">
        <v>106</v>
      </c>
      <c r="E5" s="3" t="s">
        <v>107</v>
      </c>
      <c r="F5" s="3" t="s">
        <v>108</v>
      </c>
      <c r="G5" s="3" t="s">
        <v>109</v>
      </c>
      <c r="H5" s="3" t="s">
        <v>110</v>
      </c>
      <c r="I5" s="3" t="s">
        <v>26</v>
      </c>
      <c r="J5" s="3" t="s">
        <v>60</v>
      </c>
    </row>
    <row r="6" spans="1:10" ht="60" x14ac:dyDescent="0.25">
      <c r="A6" s="3" t="s">
        <v>104</v>
      </c>
      <c r="B6" s="3" t="s">
        <v>111</v>
      </c>
      <c r="C6" s="3" t="s">
        <v>22</v>
      </c>
      <c r="D6" s="3" t="s">
        <v>106</v>
      </c>
      <c r="E6" s="3" t="s">
        <v>107</v>
      </c>
      <c r="F6" s="3" t="s">
        <v>112</v>
      </c>
      <c r="G6" s="3" t="s">
        <v>109</v>
      </c>
      <c r="H6" s="3" t="s">
        <v>113</v>
      </c>
      <c r="I6" s="3" t="s">
        <v>26</v>
      </c>
      <c r="J6" s="3" t="s">
        <v>60</v>
      </c>
    </row>
    <row r="7" spans="1:10" ht="60" x14ac:dyDescent="0.25">
      <c r="A7" s="3" t="s">
        <v>114</v>
      </c>
      <c r="B7" s="3" t="s">
        <v>115</v>
      </c>
      <c r="C7" s="3" t="s">
        <v>116</v>
      </c>
      <c r="D7" s="3" t="s">
        <v>117</v>
      </c>
      <c r="E7" s="3" t="s">
        <v>118</v>
      </c>
      <c r="F7" s="3" t="s">
        <v>119</v>
      </c>
      <c r="G7" s="3" t="s">
        <v>109</v>
      </c>
      <c r="H7" s="3" t="s">
        <v>120</v>
      </c>
      <c r="I7" s="3" t="s">
        <v>26</v>
      </c>
      <c r="J7" s="3" t="s">
        <v>27</v>
      </c>
    </row>
    <row r="8" spans="1:10" ht="45" x14ac:dyDescent="0.25">
      <c r="A8" s="3" t="s">
        <v>114</v>
      </c>
      <c r="B8" s="3" t="s">
        <v>121</v>
      </c>
      <c r="C8" s="3" t="s">
        <v>116</v>
      </c>
      <c r="D8" s="3" t="s">
        <v>117</v>
      </c>
      <c r="E8" s="3" t="s">
        <v>118</v>
      </c>
      <c r="F8" s="3" t="s">
        <v>122</v>
      </c>
      <c r="G8" s="3" t="s">
        <v>109</v>
      </c>
      <c r="H8" s="3" t="s">
        <v>123</v>
      </c>
      <c r="I8" s="3" t="s">
        <v>26</v>
      </c>
      <c r="J8" s="3" t="s">
        <v>27</v>
      </c>
    </row>
    <row r="9" spans="1:10" ht="60" x14ac:dyDescent="0.25">
      <c r="A9" s="3" t="s">
        <v>114</v>
      </c>
      <c r="B9" s="3" t="s">
        <v>124</v>
      </c>
      <c r="C9" s="3" t="s">
        <v>116</v>
      </c>
      <c r="D9" s="3" t="s">
        <v>117</v>
      </c>
      <c r="E9" s="3" t="s">
        <v>118</v>
      </c>
      <c r="F9" s="3" t="s">
        <v>125</v>
      </c>
      <c r="G9" s="3" t="s">
        <v>109</v>
      </c>
      <c r="H9" s="3" t="s">
        <v>126</v>
      </c>
      <c r="I9" s="3" t="s">
        <v>26</v>
      </c>
      <c r="J9" s="3" t="s">
        <v>27</v>
      </c>
    </row>
    <row r="10" spans="1:10" ht="60" x14ac:dyDescent="0.25">
      <c r="A10" s="3" t="s">
        <v>114</v>
      </c>
      <c r="B10" s="3" t="s">
        <v>127</v>
      </c>
      <c r="C10" s="3" t="s">
        <v>116</v>
      </c>
      <c r="D10" s="3" t="s">
        <v>117</v>
      </c>
      <c r="E10" s="3" t="s">
        <v>118</v>
      </c>
      <c r="F10" s="3" t="s">
        <v>128</v>
      </c>
      <c r="G10" s="3" t="s">
        <v>109</v>
      </c>
      <c r="H10" s="3" t="s">
        <v>129</v>
      </c>
      <c r="I10" s="3" t="s">
        <v>26</v>
      </c>
      <c r="J10" s="3" t="s">
        <v>27</v>
      </c>
    </row>
    <row r="11" spans="1:10" ht="60" x14ac:dyDescent="0.25">
      <c r="A11" s="3" t="s">
        <v>114</v>
      </c>
      <c r="B11" s="3" t="s">
        <v>130</v>
      </c>
      <c r="C11" s="3" t="s">
        <v>116</v>
      </c>
      <c r="D11" s="3" t="s">
        <v>117</v>
      </c>
      <c r="E11" s="3" t="s">
        <v>118</v>
      </c>
      <c r="F11" s="3" t="s">
        <v>131</v>
      </c>
      <c r="G11" s="3" t="s">
        <v>109</v>
      </c>
      <c r="H11" s="3" t="s">
        <v>132</v>
      </c>
      <c r="I11" s="3" t="s">
        <v>26</v>
      </c>
      <c r="J11" s="3" t="s">
        <v>27</v>
      </c>
    </row>
    <row r="12" spans="1:10" ht="60" x14ac:dyDescent="0.25">
      <c r="A12" s="3" t="s">
        <v>114</v>
      </c>
      <c r="B12" s="3" t="s">
        <v>133</v>
      </c>
      <c r="C12" s="3" t="s">
        <v>116</v>
      </c>
      <c r="D12" s="3" t="s">
        <v>117</v>
      </c>
      <c r="E12" s="3" t="s">
        <v>118</v>
      </c>
      <c r="F12" s="3" t="s">
        <v>134</v>
      </c>
      <c r="G12" s="3" t="s">
        <v>109</v>
      </c>
      <c r="H12" s="3" t="s">
        <v>135</v>
      </c>
      <c r="I12" s="3" t="s">
        <v>26</v>
      </c>
      <c r="J12" s="3" t="s">
        <v>27</v>
      </c>
    </row>
    <row r="13" spans="1:10" ht="60" x14ac:dyDescent="0.25">
      <c r="A13" s="3" t="s">
        <v>136</v>
      </c>
      <c r="B13" s="3" t="s">
        <v>137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102</v>
      </c>
      <c r="H13" s="3" t="s">
        <v>142</v>
      </c>
      <c r="I13" s="3" t="s">
        <v>26</v>
      </c>
      <c r="J13" s="3" t="s">
        <v>27</v>
      </c>
    </row>
    <row r="14" spans="1:10" ht="60" x14ac:dyDescent="0.25">
      <c r="A14" s="3" t="s">
        <v>136</v>
      </c>
      <c r="B14" s="3" t="s">
        <v>143</v>
      </c>
      <c r="C14" s="3" t="s">
        <v>138</v>
      </c>
      <c r="D14" s="3" t="s">
        <v>139</v>
      </c>
      <c r="E14" s="3" t="s">
        <v>140</v>
      </c>
      <c r="F14" s="3" t="s">
        <v>144</v>
      </c>
      <c r="G14" s="3" t="s">
        <v>109</v>
      </c>
      <c r="H14" s="3" t="s">
        <v>145</v>
      </c>
      <c r="I14" s="3" t="s">
        <v>26</v>
      </c>
      <c r="J14" s="3" t="s">
        <v>146</v>
      </c>
    </row>
    <row r="15" spans="1:10" ht="60" x14ac:dyDescent="0.25">
      <c r="A15" s="3" t="s">
        <v>147</v>
      </c>
      <c r="B15" s="3"/>
      <c r="C15" s="3" t="s">
        <v>148</v>
      </c>
      <c r="D15" s="3"/>
      <c r="E15" s="3"/>
      <c r="F15" s="3" t="s">
        <v>149</v>
      </c>
      <c r="G15" s="3" t="s">
        <v>150</v>
      </c>
      <c r="H15" s="3" t="s">
        <v>151</v>
      </c>
      <c r="I15" s="3" t="s">
        <v>26</v>
      </c>
      <c r="J15" s="3" t="s">
        <v>146</v>
      </c>
    </row>
    <row r="16" spans="1:10" ht="75" x14ac:dyDescent="0.25">
      <c r="A16" s="3" t="s">
        <v>152</v>
      </c>
      <c r="B16" s="3"/>
      <c r="C16" s="3" t="s">
        <v>148</v>
      </c>
      <c r="D16" s="3"/>
      <c r="E16" s="3"/>
      <c r="F16" s="3" t="s">
        <v>153</v>
      </c>
      <c r="G16" s="3" t="s">
        <v>154</v>
      </c>
      <c r="H16" s="3" t="s">
        <v>155</v>
      </c>
      <c r="I16" s="3" t="s">
        <v>26</v>
      </c>
      <c r="J16" s="3" t="s">
        <v>146</v>
      </c>
    </row>
    <row r="17" spans="1:10" ht="75" x14ac:dyDescent="0.25">
      <c r="A17" s="3" t="s">
        <v>156</v>
      </c>
      <c r="B17" s="3"/>
      <c r="C17" s="3" t="s">
        <v>148</v>
      </c>
      <c r="D17" s="3"/>
      <c r="E17" s="3"/>
      <c r="F17" s="3" t="s">
        <v>153</v>
      </c>
      <c r="G17" s="3" t="s">
        <v>157</v>
      </c>
      <c r="H17" s="3" t="s">
        <v>158</v>
      </c>
      <c r="I17" s="3" t="s">
        <v>26</v>
      </c>
      <c r="J17" s="3" t="s">
        <v>159</v>
      </c>
    </row>
    <row r="18" spans="1:10" ht="60" x14ac:dyDescent="0.25">
      <c r="A18" s="3" t="s">
        <v>160</v>
      </c>
      <c r="B18" s="3"/>
      <c r="C18" s="3" t="s">
        <v>148</v>
      </c>
      <c r="D18" s="3"/>
      <c r="E18" s="3"/>
      <c r="F18" s="3" t="s">
        <v>161</v>
      </c>
      <c r="G18" s="3" t="s">
        <v>162</v>
      </c>
      <c r="H18" s="3" t="s">
        <v>163</v>
      </c>
      <c r="I18" s="3" t="s">
        <v>26</v>
      </c>
      <c r="J18" s="3" t="s">
        <v>159</v>
      </c>
    </row>
    <row r="19" spans="1:10" ht="105" x14ac:dyDescent="0.25">
      <c r="A19" s="3" t="s">
        <v>164</v>
      </c>
      <c r="B19" s="3" t="s">
        <v>165</v>
      </c>
      <c r="C19" s="3" t="s">
        <v>166</v>
      </c>
      <c r="D19" s="3"/>
      <c r="E19" s="3"/>
      <c r="F19" s="3" t="s">
        <v>167</v>
      </c>
      <c r="G19" s="3"/>
      <c r="H19" s="3" t="s">
        <v>168</v>
      </c>
      <c r="I19" s="3" t="s">
        <v>26</v>
      </c>
      <c r="J19" s="3" t="s">
        <v>76</v>
      </c>
    </row>
    <row r="20" spans="1:10" ht="75" x14ac:dyDescent="0.25">
      <c r="A20" s="3" t="s">
        <v>164</v>
      </c>
      <c r="B20" s="3" t="s">
        <v>169</v>
      </c>
      <c r="C20" s="3" t="s">
        <v>166</v>
      </c>
      <c r="D20" s="3"/>
      <c r="E20" s="3"/>
      <c r="F20" s="3" t="s">
        <v>170</v>
      </c>
      <c r="G20" s="3"/>
      <c r="H20" s="3" t="s">
        <v>171</v>
      </c>
      <c r="I20" s="3" t="s">
        <v>26</v>
      </c>
      <c r="J20" s="3" t="s">
        <v>76</v>
      </c>
    </row>
    <row r="21" spans="1:10" ht="90" x14ac:dyDescent="0.25">
      <c r="A21" s="3" t="s">
        <v>172</v>
      </c>
      <c r="B21" s="3" t="s">
        <v>173</v>
      </c>
      <c r="C21" s="3" t="s">
        <v>70</v>
      </c>
      <c r="D21" s="3" t="s">
        <v>174</v>
      </c>
      <c r="E21" s="3" t="s">
        <v>175</v>
      </c>
      <c r="F21" s="3" t="s">
        <v>176</v>
      </c>
      <c r="G21" s="3"/>
      <c r="H21" s="3" t="s">
        <v>177</v>
      </c>
      <c r="I21" s="3" t="s">
        <v>26</v>
      </c>
      <c r="J21" s="3" t="s">
        <v>76</v>
      </c>
    </row>
    <row r="22" spans="1:10" ht="60" x14ac:dyDescent="0.25">
      <c r="A22" s="3" t="s">
        <v>178</v>
      </c>
      <c r="B22" s="3" t="s">
        <v>95</v>
      </c>
      <c r="C22" s="3" t="s">
        <v>179</v>
      </c>
      <c r="D22" s="3" t="s">
        <v>180</v>
      </c>
      <c r="E22" s="3"/>
      <c r="F22" s="3" t="s">
        <v>181</v>
      </c>
      <c r="G22" s="3"/>
      <c r="H22" s="3" t="s">
        <v>182</v>
      </c>
      <c r="I22" s="3" t="s">
        <v>26</v>
      </c>
      <c r="J22" s="3" t="s">
        <v>76</v>
      </c>
    </row>
    <row r="23" spans="1:10" ht="60" x14ac:dyDescent="0.25">
      <c r="A23" s="3" t="s">
        <v>183</v>
      </c>
      <c r="B23" s="3" t="s">
        <v>109</v>
      </c>
      <c r="C23" s="3" t="s">
        <v>184</v>
      </c>
      <c r="D23" s="3" t="s">
        <v>185</v>
      </c>
      <c r="E23" s="3"/>
      <c r="F23" s="3" t="s">
        <v>186</v>
      </c>
      <c r="G23" s="3"/>
      <c r="H23" s="3" t="s">
        <v>187</v>
      </c>
      <c r="I23" s="3" t="s">
        <v>26</v>
      </c>
      <c r="J23" s="3" t="s">
        <v>76</v>
      </c>
    </row>
    <row r="24" spans="1:10" ht="60" x14ac:dyDescent="0.25">
      <c r="A24" s="3" t="s">
        <v>188</v>
      </c>
      <c r="B24" s="3" t="s">
        <v>189</v>
      </c>
      <c r="C24" s="3" t="s">
        <v>190</v>
      </c>
      <c r="D24" s="3"/>
      <c r="E24" s="3"/>
      <c r="F24" s="3" t="s">
        <v>38</v>
      </c>
      <c r="G24" s="3" t="s">
        <v>191</v>
      </c>
      <c r="H24" s="3" t="s">
        <v>192</v>
      </c>
      <c r="I24" s="3" t="s">
        <v>40</v>
      </c>
      <c r="J24" s="3" t="s">
        <v>41</v>
      </c>
    </row>
    <row r="25" spans="1:10" ht="105" x14ac:dyDescent="0.25">
      <c r="A25" s="3" t="s">
        <v>193</v>
      </c>
      <c r="B25" s="3" t="s">
        <v>194</v>
      </c>
      <c r="C25" s="3" t="s">
        <v>48</v>
      </c>
      <c r="D25" s="3"/>
      <c r="E25" s="3"/>
      <c r="F25" s="3" t="s">
        <v>38</v>
      </c>
      <c r="G25" s="3"/>
      <c r="H25" s="3" t="s">
        <v>195</v>
      </c>
      <c r="I25" s="3" t="s">
        <v>40</v>
      </c>
      <c r="J25" s="3" t="s">
        <v>53</v>
      </c>
    </row>
    <row r="26" spans="1:10" ht="75" x14ac:dyDescent="0.25">
      <c r="A26" s="3" t="s">
        <v>196</v>
      </c>
      <c r="B26" s="3" t="s">
        <v>197</v>
      </c>
      <c r="C26" s="3" t="s">
        <v>198</v>
      </c>
      <c r="D26" s="3"/>
      <c r="E26" s="3"/>
      <c r="F26" s="3" t="s">
        <v>199</v>
      </c>
      <c r="G26" s="3"/>
      <c r="H26" s="3" t="s">
        <v>200</v>
      </c>
      <c r="I26" s="3" t="s">
        <v>40</v>
      </c>
      <c r="J26" s="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45" x14ac:dyDescent="0.25">
      <c r="A2" s="3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1" topLeftCell="A2" activePane="bottomLeft" state="frozen"/>
      <selection pane="bottomLeft" activeCell="A2" sqref="A2:J3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150" x14ac:dyDescent="0.25">
      <c r="A2" s="3" t="s">
        <v>202</v>
      </c>
      <c r="B2" s="3" t="s">
        <v>203</v>
      </c>
      <c r="C2" s="3" t="s">
        <v>204</v>
      </c>
      <c r="D2" s="3" t="s">
        <v>205</v>
      </c>
      <c r="E2" s="3" t="s">
        <v>206</v>
      </c>
      <c r="F2" s="3" t="s">
        <v>38</v>
      </c>
      <c r="G2" s="3"/>
      <c r="H2" s="3" t="s">
        <v>207</v>
      </c>
      <c r="I2" s="3" t="s">
        <v>40</v>
      </c>
      <c r="J2" s="3" t="s">
        <v>208</v>
      </c>
    </row>
    <row r="3" spans="1:10" ht="135" x14ac:dyDescent="0.25">
      <c r="A3" s="3" t="s">
        <v>209</v>
      </c>
      <c r="B3" s="3" t="s">
        <v>210</v>
      </c>
      <c r="C3" s="3" t="s">
        <v>211</v>
      </c>
      <c r="D3" s="3" t="s">
        <v>212</v>
      </c>
      <c r="E3" s="3"/>
      <c r="F3" s="3" t="s">
        <v>213</v>
      </c>
      <c r="G3" s="3"/>
      <c r="H3" s="3" t="s">
        <v>214</v>
      </c>
      <c r="I3" s="3" t="s">
        <v>40</v>
      </c>
      <c r="J3" s="3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>
      <pane ySplit="1" topLeftCell="A2" activePane="bottomLeft" state="frozen"/>
      <selection pane="bottomLeft" activeCell="A2" sqref="A2:J4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45" x14ac:dyDescent="0.25">
      <c r="A2" s="3" t="s">
        <v>215</v>
      </c>
      <c r="B2" s="3" t="s">
        <v>216</v>
      </c>
      <c r="C2" s="3" t="s">
        <v>217</v>
      </c>
      <c r="D2" s="3" t="s">
        <v>218</v>
      </c>
      <c r="E2" s="3" t="s">
        <v>219</v>
      </c>
      <c r="F2" s="3" t="s">
        <v>220</v>
      </c>
      <c r="G2" s="3" t="s">
        <v>221</v>
      </c>
      <c r="H2" s="3" t="s">
        <v>222</v>
      </c>
      <c r="I2" s="3" t="s">
        <v>223</v>
      </c>
      <c r="J2" s="3" t="s">
        <v>208</v>
      </c>
    </row>
    <row r="3" spans="1:10" ht="45" x14ac:dyDescent="0.25">
      <c r="A3" s="3" t="s">
        <v>215</v>
      </c>
      <c r="B3" s="3" t="s">
        <v>224</v>
      </c>
      <c r="C3" s="3" t="s">
        <v>217</v>
      </c>
      <c r="D3" s="3" t="s">
        <v>218</v>
      </c>
      <c r="E3" s="3" t="s">
        <v>219</v>
      </c>
      <c r="F3" s="3" t="s">
        <v>225</v>
      </c>
      <c r="G3" s="3" t="s">
        <v>226</v>
      </c>
      <c r="H3" s="3" t="s">
        <v>227</v>
      </c>
      <c r="I3" s="3" t="s">
        <v>223</v>
      </c>
      <c r="J3" s="3" t="s">
        <v>228</v>
      </c>
    </row>
    <row r="4" spans="1:10" ht="75" x14ac:dyDescent="0.25">
      <c r="A4" s="3" t="s">
        <v>229</v>
      </c>
      <c r="B4" s="3" t="s">
        <v>230</v>
      </c>
      <c r="C4" s="3" t="s">
        <v>231</v>
      </c>
      <c r="D4" s="3" t="s">
        <v>232</v>
      </c>
      <c r="E4" s="3" t="s">
        <v>233</v>
      </c>
      <c r="F4" s="3"/>
      <c r="G4" s="3"/>
      <c r="H4" s="3" t="s">
        <v>234</v>
      </c>
      <c r="I4" s="3" t="s">
        <v>223</v>
      </c>
      <c r="J4" s="3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ht="45" x14ac:dyDescent="0.25">
      <c r="A2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Planilha2</vt:lpstr>
      <vt:lpstr>Resumo</vt:lpstr>
      <vt:lpstr>1 - Prazos Criticos</vt:lpstr>
      <vt:lpstr>2 - Movimentacoes de Pessoal</vt:lpstr>
      <vt:lpstr>3 - Nomes Monitorados</vt:lpstr>
      <vt:lpstr>4 - Observacoes Executivas</vt:lpstr>
      <vt:lpstr>5 - Expediente e Ponto Facultat</vt:lpstr>
      <vt:lpstr>6 - Tribunal de Contas (IB)</vt:lpstr>
      <vt:lpstr>7 - Poder Legislativo (II)</vt:lpstr>
      <vt:lpstr>8 - Municipalidades e Pedido (I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Alexandre Vaz Da Silva</cp:lastModifiedBy>
  <dcterms:created xsi:type="dcterms:W3CDTF">2026-07-17T19:11:24Z</dcterms:created>
  <dcterms:modified xsi:type="dcterms:W3CDTF">2026-08-06T12:42:25Z</dcterms:modified>
</cp:coreProperties>
</file>